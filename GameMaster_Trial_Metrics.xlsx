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s Master List" sheetId="1" state="visible" r:id="rId3"/>
    <sheet name="Implementation Sprint" sheetId="2" state="visible" r:id="rId4"/>
    <sheet name="30-Day Tracker" sheetId="3" state="visible" r:id="rId5"/>
    <sheet name="Case Study Template" sheetId="4" state="visible" r:id="rId6"/>
    <sheet name="Effort Summary" sheetId="5" state="visible" r:id="rId7"/>
  </sheets>
  <definedNames>
    <definedName function="false" hidden="true" localSheetId="1" name="_xlnm._FilterDatabase" vbProcedure="false">'Implementation Sprint'!$A$1:$I$30</definedName>
    <definedName function="false" hidden="true" localSheetId="0" name="_xlnm._FilterDatabase" vbProcedure="false">'Metrics Master List'!$A$1:$H$33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<sst xmlns="http://schemas.openxmlformats.org/spreadsheetml/2006/main" count="497" uniqueCount="325">
  <si>
    <t xml:space="preserve">Category</t>
  </si>
  <si>
    <t xml:space="preserve">Metric</t>
  </si>
  <si>
    <t xml:space="preserve">What It Measures</t>
  </si>
  <si>
    <t xml:space="preserve">How to Collect</t>
  </si>
  <si>
    <t xml:space="preserve">Automation Level</t>
  </si>
  <si>
    <t xml:space="preserve">Frequency</t>
  </si>
  <si>
    <t xml:space="preserve">Target / Benchmark</t>
  </si>
  <si>
    <t xml:space="preserve">Why It Matters for ICP Pitch</t>
  </si>
  <si>
    <t xml:space="preserve">PRODUCT USAGE METRICS</t>
  </si>
  <si>
    <t xml:space="preserve">Product Usage</t>
  </si>
  <si>
    <t xml:space="preserve">Total Sessions</t>
  </si>
  <si>
    <t xml:space="preserve">Number of times GameMaster AI was launched</t>
  </si>
  <si>
    <t xml:space="preserve">App analytics (auto-log each session start)</t>
  </si>
  <si>
    <t xml:space="preserve">Fully Automated</t>
  </si>
  <si>
    <t xml:space="preserve">Daily auto-log</t>
  </si>
  <si>
    <t xml:space="preserve">50+ sessions / 30 days</t>
  </si>
  <si>
    <t xml:space="preserve">Proves demand exists even in low-traffic venue</t>
  </si>
  <si>
    <t xml:space="preserve">Unique Users</t>
  </si>
  <si>
    <t xml:space="preserve">Distinct groups/individuals who used the product</t>
  </si>
  <si>
    <t xml:space="preserve">Unique device ID or session token</t>
  </si>
  <si>
    <t xml:space="preserve">25+ unique users / 30 days</t>
  </si>
  <si>
    <t xml:space="preserve">Shows breadth of adoption beyond repeat users</t>
  </si>
  <si>
    <t xml:space="preserve">Sessions per Day</t>
  </si>
  <si>
    <t xml:space="preserve">Average daily usage rate</t>
  </si>
  <si>
    <t xml:space="preserve">Session count / days active</t>
  </si>
  <si>
    <t xml:space="preserve">2+ sessions/day</t>
  </si>
  <si>
    <t xml:space="preserve">Demonstrates consistent demand vs one-time curiosity</t>
  </si>
  <si>
    <t xml:space="preserve">Peak Usage Hours</t>
  </si>
  <si>
    <t xml:space="preserve">When people use GameMaster AI most</t>
  </si>
  <si>
    <t xml:space="preserve">Timestamp on each session</t>
  </si>
  <si>
    <t xml:space="preserve">Identify top 3 hours</t>
  </si>
  <si>
    <t xml:space="preserve">Helps ICP venues schedule staff &amp; plan events around demand</t>
  </si>
  <si>
    <t xml:space="preserve">Session Duration (avg)</t>
  </si>
  <si>
    <t xml:space="preserve">How long each teaching session lasts</t>
  </si>
  <si>
    <t xml:space="preserve">Time from session start to end</t>
  </si>
  <si>
    <t xml:space="preserve">Per session</t>
  </si>
  <si>
    <t xml:space="preserve">10-20 min avg</t>
  </si>
  <si>
    <t xml:space="preserve">Proves AI teaches faster than human staff or rulebook reading</t>
  </si>
  <si>
    <t xml:space="preserve">Games Taught (by title)</t>
  </si>
  <si>
    <t xml:space="preserve">Which specific games are being learned</t>
  </si>
  <si>
    <t xml:space="preserve">Log game title per session</t>
  </si>
  <si>
    <t xml:space="preserve">Track top 10 games</t>
  </si>
  <si>
    <t xml:space="preserve">Shows ICP venues which games drive engagement — helps them stock inventory</t>
  </si>
  <si>
    <t xml:space="preserve">Repeat Usage Rate</t>
  </si>
  <si>
    <t xml:space="preserve">% of users who come back for another game</t>
  </si>
  <si>
    <t xml:space="preserve">Compare unique IDs across sessions</t>
  </si>
  <si>
    <t xml:space="preserve">Weekly rollup</t>
  </si>
  <si>
    <t xml:space="preserve">20%+ repeat rate</t>
  </si>
  <si>
    <t xml:space="preserve">Proves stickiness — people come back because of the tool</t>
  </si>
  <si>
    <t xml:space="preserve">COMPLETION &amp; QUALITY METRICS</t>
  </si>
  <si>
    <t xml:space="preserve">Completion</t>
  </si>
  <si>
    <t xml:space="preserve">Session Completion Rate</t>
  </si>
  <si>
    <t xml:space="preserve">% of sessions where user finishes learning &amp; starts playing</t>
  </si>
  <si>
    <t xml:space="preserve">Track 'game started' event after teaching</t>
  </si>
  <si>
    <t xml:space="preserve">80%+ completion</t>
  </si>
  <si>
    <t xml:space="preserve">THE key stat — proves the product actually works</t>
  </si>
  <si>
    <t xml:space="preserve">Drop-off Point</t>
  </si>
  <si>
    <t xml:space="preserve">Where in the teaching flow users quit</t>
  </si>
  <si>
    <t xml:space="preserve">Log which step/section user was on at exit</t>
  </si>
  <si>
    <t xml:space="preserve">Identify top 3 drop-offs</t>
  </si>
  <si>
    <t xml:space="preserve">Tells you exactly what to fix in the product</t>
  </si>
  <si>
    <t xml:space="preserve">Questions Asked per Session</t>
  </si>
  <si>
    <t xml:space="preserve">How many follow-up questions users ask the AI</t>
  </si>
  <si>
    <t xml:space="preserve">Count user inputs per session</t>
  </si>
  <si>
    <t xml:space="preserve">3-5 avg is healthy</t>
  </si>
  <si>
    <t xml:space="preserve">Low = too simple or not engaging. High = confusing. Sweet spot = interactive</t>
  </si>
  <si>
    <t xml:space="preserve">Error / Fallback Rate</t>
  </si>
  <si>
    <t xml:space="preserve">How often the AI can't answer or gives wrong info</t>
  </si>
  <si>
    <t xml:space="preserve">Log 'I don't know' or fallback responses</t>
  </si>
  <si>
    <t xml:space="preserve">&lt;5% fallback rate</t>
  </si>
  <si>
    <t xml:space="preserve">Proves reliability — critical for cafe owner trust</t>
  </si>
  <si>
    <t xml:space="preserve">Game Complexity vs Completion</t>
  </si>
  <si>
    <t xml:space="preserve">Does completion drop for complex games?</t>
  </si>
  <si>
    <t xml:space="preserve">Cross-reference game weight rating with completion</t>
  </si>
  <si>
    <t xml:space="preserve">Semi-Automated</t>
  </si>
  <si>
    <t xml:space="preserve">Weekly analysis</t>
  </si>
  <si>
    <t xml:space="preserve">Maintain 70%+ even for complex games</t>
  </si>
  <si>
    <t xml:space="preserve">Shows the product scales across game difficulty</t>
  </si>
  <si>
    <t xml:space="preserve">USER SATISFACTION METRICS</t>
  </si>
  <si>
    <t xml:space="preserve">Satisfaction</t>
  </si>
  <si>
    <t xml:space="preserve">Post-Session Rating</t>
  </si>
  <si>
    <t xml:space="preserve">Thumbs up/down or 1-5 stars after each session</t>
  </si>
  <si>
    <t xml:space="preserve">In-app prompt after session ends</t>
  </si>
  <si>
    <t xml:space="preserve">4.0+ avg / 80%+ thumbs up</t>
  </si>
  <si>
    <t xml:space="preserve">Direct social proof for pitch deck and case studies</t>
  </si>
  <si>
    <t xml:space="preserve">Written Feedback</t>
  </si>
  <si>
    <t xml:space="preserve">Optional comment box for qualitative feedback</t>
  </si>
  <si>
    <t xml:space="preserve">In-app text field after rating</t>
  </si>
  <si>
    <t xml:space="preserve">Collect 10+ comments</t>
  </si>
  <si>
    <t xml:space="preserve">Real customer quotes are marketing gold</t>
  </si>
  <si>
    <t xml:space="preserve">Net Promoter Score (NPS)</t>
  </si>
  <si>
    <t xml:space="preserve">Would you recommend this to a friend? (0-10)</t>
  </si>
  <si>
    <t xml:space="preserve">In-app survey at session 3+ for repeat users</t>
  </si>
  <si>
    <t xml:space="preserve">After 3rd session</t>
  </si>
  <si>
    <t xml:space="preserve">NPS 30+</t>
  </si>
  <si>
    <t xml:space="preserve">Industry-standard metric that ICP owners understand</t>
  </si>
  <si>
    <t xml:space="preserve">BUSINESS IMPACT METRICS (requires some manual effort)</t>
  </si>
  <si>
    <t xml:space="preserve">Business Impact</t>
  </si>
  <si>
    <t xml:space="preserve">Dwell Time Change</t>
  </si>
  <si>
    <t xml:space="preserve">Do groups stay longer when using GameMaster AI?</t>
  </si>
  <si>
    <t xml:space="preserve">Compare avg visit duration: AI users vs non-users (ask staff)</t>
  </si>
  <si>
    <t xml:space="preserve">Manual — staff observation</t>
  </si>
  <si>
    <t xml:space="preserve">Weekly estimate</t>
  </si>
  <si>
    <t xml:space="preserve">30+ min longer stays</t>
  </si>
  <si>
    <t xml:space="preserve">Directly ties to food/bev revenue argument for ICP pitch</t>
  </si>
  <si>
    <t xml:space="preserve">Food &amp; Bev Correlation</t>
  </si>
  <si>
    <t xml:space="preserve">Do AI-taught groups buy more?</t>
  </si>
  <si>
    <t xml:space="preserve">Track if groups that used AI placed food/bev orders (POS or staff notes)</t>
  </si>
  <si>
    <t xml:space="preserve">Manual — POS check</t>
  </si>
  <si>
    <t xml:space="preserve">Any positive signal</t>
  </si>
  <si>
    <t xml:space="preserve">The revenue multiplier proof point ICP owners need to see</t>
  </si>
  <si>
    <t xml:space="preserve">Game Purchase Correlation</t>
  </si>
  <si>
    <t xml:space="preserve">Do people buy the game after learning it?</t>
  </si>
  <si>
    <t xml:space="preserve">Track game sales on days with high AI usage vs low</t>
  </si>
  <si>
    <t xml:space="preserve">Weekly comparison</t>
  </si>
  <si>
    <t xml:space="preserve">Impulse purchase angle — teaches game → loves it → buys it</t>
  </si>
  <si>
    <t xml:space="preserve">Staff Time Freed</t>
  </si>
  <si>
    <t xml:space="preserve">Hours staff would have spent teaching that AI handled</t>
  </si>
  <si>
    <t xml:space="preserve">Multiply sessions × avg human teach time (est. 20 min)</t>
  </si>
  <si>
    <t xml:space="preserve">Weekly calc</t>
  </si>
  <si>
    <t xml:space="preserve">10+ hrs/month freed</t>
  </si>
  <si>
    <t xml:space="preserve">Directly translates to dollar savings for labor replacement pitch</t>
  </si>
  <si>
    <t xml:space="preserve">DISCOVERY &amp; ADOPTION METRICS</t>
  </si>
  <si>
    <t xml:space="preserve">Adoption</t>
  </si>
  <si>
    <t xml:space="preserve">Self-Discovery Rate</t>
  </si>
  <si>
    <t xml:space="preserve">% of users who found and started AI without staff help</t>
  </si>
  <si>
    <t xml:space="preserve">Track if session started within 60s of app opening (no staff prompt)</t>
  </si>
  <si>
    <t xml:space="preserve">50%+ self-discovery</t>
  </si>
  <si>
    <t xml:space="preserve">Proves product works even without staff promotion — key for non-ICP learning</t>
  </si>
  <si>
    <t xml:space="preserve">Staff-Prompted vs Organic</t>
  </si>
  <si>
    <t xml:space="preserve">How often staff directs customers vs customers find it</t>
  </si>
  <si>
    <t xml:space="preserve">Add 'how did you find this?' prompt at session start</t>
  </si>
  <si>
    <t xml:space="preserve">Track ratio</t>
  </si>
  <si>
    <t xml:space="preserve">If organic is high, product sells itself. If staff-prompted is high, need good staff buy-in at ICP</t>
  </si>
  <si>
    <t xml:space="preserve">Time to First Interaction</t>
  </si>
  <si>
    <t xml:space="preserve">How long the device sits before someone uses it</t>
  </si>
  <si>
    <t xml:space="preserve">Log time between device activation and first session each day</t>
  </si>
  <si>
    <t xml:space="preserve">Daily</t>
  </si>
  <si>
    <t xml:space="preserve">&lt; 2 hours</t>
  </si>
  <si>
    <t xml:space="preserve">Visibility/placement insight — helps advise ICP venues on setup</t>
  </si>
  <si>
    <t xml:space="preserve">TECHNICAL PERFORMANCE METRICS</t>
  </si>
  <si>
    <t xml:space="preserve">Technical</t>
  </si>
  <si>
    <t xml:space="preserve">App Load Time</t>
  </si>
  <si>
    <t xml:space="preserve">How fast the app launches</t>
  </si>
  <si>
    <t xml:space="preserve">Performance monitoring in-app</t>
  </si>
  <si>
    <t xml:space="preserve">&lt; 3 seconds</t>
  </si>
  <si>
    <t xml:space="preserve">Slow load = users walk away. Must be snappy for cafe environment</t>
  </si>
  <si>
    <t xml:space="preserve">Voice Recognition Accuracy</t>
  </si>
  <si>
    <t xml:space="preserve">% of voice inputs correctly understood</t>
  </si>
  <si>
    <t xml:space="preserve">Compare STT output to intent match rate</t>
  </si>
  <si>
    <t xml:space="preserve">90%+ accuracy</t>
  </si>
  <si>
    <t xml:space="preserve">Noisy cafe environment is the hardest test — great data</t>
  </si>
  <si>
    <t xml:space="preserve">Crash / Error Rate</t>
  </si>
  <si>
    <t xml:space="preserve">How often the app crashes or throws errors</t>
  </si>
  <si>
    <t xml:space="preserve">Error logging / crash reporting</t>
  </si>
  <si>
    <t xml:space="preserve">&lt; 1% crash rate</t>
  </si>
  <si>
    <t xml:space="preserve">Reliability metric — can't have crashes during customer experience</t>
  </si>
  <si>
    <t xml:space="preserve">Ambient Noise Performance</t>
  </si>
  <si>
    <t xml:space="preserve">Does voice recognition degrade in noisy environments?</t>
  </si>
  <si>
    <t xml:space="preserve">Correlate accuracy with time of day / noise levels</t>
  </si>
  <si>
    <t xml:space="preserve">Maintain 85%+ in peak hours</t>
  </si>
  <si>
    <t xml:space="preserve">Cafe-specific insight no lab test can give you</t>
  </si>
  <si>
    <t xml:space="preserve">Sprint</t>
  </si>
  <si>
    <t xml:space="preserve">Task</t>
  </si>
  <si>
    <t xml:space="preserve">Description</t>
  </si>
  <si>
    <t xml:space="preserve">Priority</t>
  </si>
  <si>
    <t xml:space="preserve">Effort (hrs)</t>
  </si>
  <si>
    <t xml:space="preserve">Dependencies</t>
  </si>
  <si>
    <t xml:space="preserve">Owner</t>
  </si>
  <si>
    <t xml:space="preserve">Status</t>
  </si>
  <si>
    <t xml:space="preserve">Due Date</t>
  </si>
  <si>
    <t xml:space="preserve">PRE-TRIAL SPRINT — Week Before Trial (3-5 days)</t>
  </si>
  <si>
    <t xml:space="preserve">Sprint 0: Pre-Trial</t>
  </si>
  <si>
    <t xml:space="preserve">Set up analytics framework</t>
  </si>
  <si>
    <t xml:space="preserve">Implement session logging: start time, end time, game title, unique session ID. Use lightweight analytics (Mixpanel free tier, PostHog, or custom Firebase).</t>
  </si>
  <si>
    <t xml:space="preserve">P0 — Critical</t>
  </si>
  <si>
    <t xml:space="preserve">None</t>
  </si>
  <si>
    <t xml:space="preserve">Tim</t>
  </si>
  <si>
    <t xml:space="preserve">Not Started</t>
  </si>
  <si>
    <t xml:space="preserve">Build session event tracking</t>
  </si>
  <si>
    <t xml:space="preserve">Log key events: session_start, game_selected, teaching_step_completed, session_end, game_started_playing</t>
  </si>
  <si>
    <t xml:space="preserve">Analytics framework</t>
  </si>
  <si>
    <t xml:space="preserve">Add post-session feedback UI</t>
  </si>
  <si>
    <t xml:space="preserve">After session ends: thumbs up/down + optional comment box + optional NPS (0-10). Keep it to ONE screen, 10 seconds max.</t>
  </si>
  <si>
    <t xml:space="preserve">Implement error/fallback logging</t>
  </si>
  <si>
    <t xml:space="preserve">Log every instance where AI returns 'I don't know', gives a fallback response, or user repeats a question</t>
  </si>
  <si>
    <t xml:space="preserve">P1 — High</t>
  </si>
  <si>
    <t xml:space="preserve">Add discovery tracking</t>
  </si>
  <si>
    <t xml:space="preserve">Log how session started: 'how did you find this?' quick-tap (saw it on table / staff told me / friend showed me)</t>
  </si>
  <si>
    <t xml:space="preserve">Voice recognition accuracy logging</t>
  </si>
  <si>
    <t xml:space="preserve">Log STT confidence scores per utterance. Flag low-confidence inputs.</t>
  </si>
  <si>
    <t xml:space="preserve">Create analytics dashboard</t>
  </si>
  <si>
    <t xml:space="preserve">Simple dashboard (Google Sheets auto-import or lightweight web dashboard) to monitor metrics in real-time without visiting venue</t>
  </si>
  <si>
    <t xml:space="preserve">P2 — Medium</t>
  </si>
  <si>
    <t xml:space="preserve">Prepare device &amp; placement plan</t>
  </si>
  <si>
    <t xml:space="preserve">Charge device, test app, prepare signage ('Learn any game in minutes — tap to start'). Plan table/counter placement for max visibility.</t>
  </si>
  <si>
    <t xml:space="preserve">SPRINT 1 — Days 1-7: Launch &amp; Baseline</t>
  </si>
  <si>
    <t xml:space="preserve">Sprint 1: Days 1-7</t>
  </si>
  <si>
    <t xml:space="preserve">Deploy to venue</t>
  </si>
  <si>
    <t xml:space="preserve">Set up device, brief any available staff (keep to 2 minutes: 'just point people to it if they look confused about a game'). Take photos of placement.</t>
  </si>
  <si>
    <t xml:space="preserve">Pre-trial complete</t>
  </si>
  <si>
    <t xml:space="preserve">Monitor daily for first 3 days</t>
  </si>
  <si>
    <t xml:space="preserve">Check dashboard daily for crashes, errors, zero-session days. Fix critical bugs immediately.</t>
  </si>
  <si>
    <t xml:space="preserve">Dashboard built</t>
  </si>
  <si>
    <t xml:space="preserve">Establish baseline metrics</t>
  </si>
  <si>
    <t xml:space="preserve">After 7 days: document baseline sessions/day, completion rate, avg duration, top games, peak hours</t>
  </si>
  <si>
    <t xml:space="preserve">7 days of data</t>
  </si>
  <si>
    <t xml:space="preserve">Identify top 3 drop-off points</t>
  </si>
  <si>
    <t xml:space="preserve">Review session flow data — where are people quitting? Which teaching steps lose people?</t>
  </si>
  <si>
    <t xml:space="preserve">Collect first feedback batch</t>
  </si>
  <si>
    <t xml:space="preserve">Review all thumbs up/down and written comments. Categorize into themes.</t>
  </si>
  <si>
    <t xml:space="preserve">Feedback UI live</t>
  </si>
  <si>
    <t xml:space="preserve">SPRINT 2 — Days 8-21: Iterate &amp; Deepen</t>
  </si>
  <si>
    <t xml:space="preserve">Sprint 2: Days 8-21</t>
  </si>
  <si>
    <t xml:space="preserve">Fix top 3 product issues</t>
  </si>
  <si>
    <t xml:space="preserve">Based on drop-off data and feedback, ship fixes for the biggest friction points</t>
  </si>
  <si>
    <t xml:space="preserve">Sprint 1 analysis</t>
  </si>
  <si>
    <t xml:space="preserve">Add game complexity tagging</t>
  </si>
  <si>
    <t xml:space="preserve">Tag each game with BGG weight rating. Cross-reference with completion rates.</t>
  </si>
  <si>
    <t xml:space="preserve">Session data flowing</t>
  </si>
  <si>
    <t xml:space="preserve">Manual data collection visit</t>
  </si>
  <si>
    <t xml:space="preserve">Visit venue once. Observe for 2-3 hours: Are people finding it? How long do groups stay? Do they order food? Ask staff informally about any changes they've noticed.</t>
  </si>
  <si>
    <t xml:space="preserve">2+ weeks of data</t>
  </si>
  <si>
    <t xml:space="preserve">Voice accuracy analysis</t>
  </si>
  <si>
    <t xml:space="preserve">Pull STT confidence logs. Calculate accuracy by time of day. Identify if noisy periods degrade performance.</t>
  </si>
  <si>
    <t xml:space="preserve">Voice logging active</t>
  </si>
  <si>
    <t xml:space="preserve">Repeat user analysis</t>
  </si>
  <si>
    <t xml:space="preserve">How many unique users came back for a 2nd+ session? What games did they try next?</t>
  </si>
  <si>
    <t xml:space="preserve">14+ days of data</t>
  </si>
  <si>
    <t xml:space="preserve">SPRINT 3 — Days 22-30: Package &amp; Extract</t>
  </si>
  <si>
    <t xml:space="preserve">Sprint 3: Days 22-30</t>
  </si>
  <si>
    <t xml:space="preserve">Final metrics snapshot</t>
  </si>
  <si>
    <t xml:space="preserve">Pull all 30-day metrics into a summary. Calculate final averages, totals, and trends.</t>
  </si>
  <si>
    <t xml:space="preserve">30 days complete</t>
  </si>
  <si>
    <t xml:space="preserve">Build case study one-pager</t>
  </si>
  <si>
    <t xml:space="preserve">Create a one-page PDF: venue type, key stats (sessions, completion rate, satisfaction, games taught), top customer quotes, before/after observations</t>
  </si>
  <si>
    <t xml:space="preserve">Final metrics</t>
  </si>
  <si>
    <t xml:space="preserve">Calculate derived business metrics</t>
  </si>
  <si>
    <t xml:space="preserve">Estimate: staff hours saved, potential dwell time increase, implied food/bev revenue lift. Use conservative assumptions.</t>
  </si>
  <si>
    <t xml:space="preserve">Extract top 5 customer quotes</t>
  </si>
  <si>
    <t xml:space="preserve">Pull the best written feedback comments. Get permission to use if possible (or anonymize).</t>
  </si>
  <si>
    <t xml:space="preserve">Feedback data</t>
  </si>
  <si>
    <t xml:space="preserve">Product improvement roadmap</t>
  </si>
  <si>
    <t xml:space="preserve">Based on all 30 days of data: what are the top 5 product improvements before pitching ICP venues?</t>
  </si>
  <si>
    <t xml:space="preserve">All sprint data</t>
  </si>
  <si>
    <t xml:space="preserve">Retrieve device &amp; close trial</t>
  </si>
  <si>
    <t xml:space="preserve">Pick up device. Thank owner. Don't hard-sell — if they're interested, they'll ask. If not, you already got what you came for.</t>
  </si>
  <si>
    <t xml:space="preserve">Day 30</t>
  </si>
  <si>
    <t xml:space="preserve">Update ICP pitch deck with real data</t>
  </si>
  <si>
    <t xml:space="preserve">Replace placeholder numbers in your pitch deck with actual trial results. This is the whole point.</t>
  </si>
  <si>
    <t xml:space="preserve">Case study done</t>
  </si>
  <si>
    <t xml:space="preserve">Day</t>
  </si>
  <si>
    <t xml:space="preserve">Date</t>
  </si>
  <si>
    <t xml:space="preserve">Avg Duration (min)</t>
  </si>
  <si>
    <t xml:space="preserve">Completion Rate %</t>
  </si>
  <si>
    <t xml:space="preserve">Avg Rating (1-5)</t>
  </si>
  <si>
    <t xml:space="preserve">Top Game</t>
  </si>
  <si>
    <t xml:space="preserve">Feedback Comments</t>
  </si>
  <si>
    <t xml:space="preserve">Errors/Crashes</t>
  </si>
  <si>
    <t xml:space="preserve">Notes</t>
  </si>
  <si>
    <t xml:space="preserve">Cumulative Sessions</t>
  </si>
  <si>
    <t xml:space="preserve">30-DAY TOTALS</t>
  </si>
  <si>
    <t xml:space="preserve">VENUE INFORMATION</t>
  </si>
  <si>
    <t xml:space="preserve">Venue Name</t>
  </si>
  <si>
    <t xml:space="preserve">Location</t>
  </si>
  <si>
    <t xml:space="preserve">Business Model</t>
  </si>
  <si>
    <t xml:space="preserve">Lending library / Café / Hybrid</t>
  </si>
  <si>
    <t xml:space="preserve">Cover Charge?</t>
  </si>
  <si>
    <t xml:space="preserve">Yes / No — Amount: </t>
  </si>
  <si>
    <t xml:space="preserve">Teaching Staff?</t>
  </si>
  <si>
    <t xml:space="preserve">Yes / No</t>
  </si>
  <si>
    <t xml:space="preserve">CRM / Outreach?</t>
  </si>
  <si>
    <t xml:space="preserve">ICP Fit?</t>
  </si>
  <si>
    <t xml:space="preserve">Yes / No — Notes: </t>
  </si>
  <si>
    <t xml:space="preserve">TRIAL DETAILS</t>
  </si>
  <si>
    <t xml:space="preserve">Trial Start Date</t>
  </si>
  <si>
    <t xml:space="preserve">Trial End Date</t>
  </si>
  <si>
    <t xml:space="preserve">Device Placement</t>
  </si>
  <si>
    <t xml:space="preserve">Staff Briefed?</t>
  </si>
  <si>
    <t xml:space="preserve">KEY METRICS (30-Day)</t>
  </si>
  <si>
    <t xml:space="preserve">Avg Session Duration</t>
  </si>
  <si>
    <t xml:space="preserve">Avg User Rating</t>
  </si>
  <si>
    <t xml:space="preserve">Top 3 Games Taught</t>
  </si>
  <si>
    <t xml:space="preserve">1.
2.
3.</t>
  </si>
  <si>
    <t xml:space="preserve">Error / Crash Rate</t>
  </si>
  <si>
    <t xml:space="preserve">Voice Accuracy Rate</t>
  </si>
  <si>
    <t xml:space="preserve">BUSINESS IMPACT ESTIMATES</t>
  </si>
  <si>
    <t xml:space="preserve">Est. Staff Hours Saved</t>
  </si>
  <si>
    <t xml:space="preserve">Total Sessions × 20 min avg human teach time</t>
  </si>
  <si>
    <t xml:space="preserve">Est. Dwell Time Increase</t>
  </si>
  <si>
    <t xml:space="preserve">Food/Bev Correlation</t>
  </si>
  <si>
    <t xml:space="preserve">Game Sales Correlation</t>
  </si>
  <si>
    <t xml:space="preserve">TOP CUSTOMER QUOTES</t>
  </si>
  <si>
    <t xml:space="preserve">Quote 1</t>
  </si>
  <si>
    <t xml:space="preserve">Quote 2</t>
  </si>
  <si>
    <t xml:space="preserve">Quote 3</t>
  </si>
  <si>
    <t xml:space="preserve">Quote 4</t>
  </si>
  <si>
    <t xml:space="preserve">Quote 5</t>
  </si>
  <si>
    <t xml:space="preserve">PRODUCT LEARNINGS</t>
  </si>
  <si>
    <t xml:space="preserve">Top Drop-off Points</t>
  </si>
  <si>
    <t xml:space="preserve">Games with Lowest Completion</t>
  </si>
  <si>
    <t xml:space="preserve">Most Common User Questions</t>
  </si>
  <si>
    <t xml:space="preserve">Voice Recognition Issues</t>
  </si>
  <si>
    <t xml:space="preserve">Key Product Improvements Needed</t>
  </si>
  <si>
    <t xml:space="preserve">1.
2.
3.
4.
5.</t>
  </si>
  <si>
    <t xml:space="preserve">PITCH DECK UPDATES</t>
  </si>
  <si>
    <t xml:space="preserve">Stats to Add to Deck</t>
  </si>
  <si>
    <t xml:space="preserve">Quotes to Feature</t>
  </si>
  <si>
    <t xml:space="preserve">Before/After Story</t>
  </si>
  <si>
    <t xml:space="preserve">Total Tasks</t>
  </si>
  <si>
    <t xml:space="preserve">Total Hours</t>
  </si>
  <si>
    <t xml:space="preserve">Your Time On-Site</t>
  </si>
  <si>
    <t xml:space="preserve">Goal</t>
  </si>
  <si>
    <t xml:space="preserve">Sprint 0: Pre-Trial (Week Before)</t>
  </si>
  <si>
    <t xml:space="preserve">0 hrs — all remote dev work</t>
  </si>
  <si>
    <t xml:space="preserve">Ship analytics + feedback UI. Prep device.</t>
  </si>
  <si>
    <t xml:space="preserve">2 hrs — deploy + brief staff</t>
  </si>
  <si>
    <t xml:space="preserve">Establish baselines. Fix critical bugs.</t>
  </si>
  <si>
    <t xml:space="preserve">3 hrs — one observation visit</t>
  </si>
  <si>
    <t xml:space="preserve">Iterate product. Deepen data.</t>
  </si>
  <si>
    <t xml:space="preserve">1 hr — retrieve device</t>
  </si>
  <si>
    <t xml:space="preserve">Package everything into case study + updated pitch.</t>
  </si>
  <si>
    <t xml:space="preserve">TOTAL</t>
  </si>
  <si>
    <t xml:space="preserve">~6 hrs on-site over 30 days</t>
  </si>
  <si>
    <t xml:space="preserve">Complete trial data + case study + updated pitch deck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</si>
</sst>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color rgb="FF0F9B8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CC7700"/>
      <name val="Arial"/>
      <family val="0"/>
      <charset val="1"/>
    </font>
    <font>
      <b val="true"/>
      <sz val="10"/>
      <color rgb="FF0066CC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213E"/>
        <bgColor rgb="FF003366"/>
      </patternFill>
    </fill>
    <fill>
      <patternFill patternType="solid">
        <fgColor rgb="FFE0F5F1"/>
        <bgColor rgb="FFF0F4F8"/>
      </patternFill>
    </fill>
    <fill>
      <patternFill patternType="solid">
        <fgColor rgb="FFFFFFFF"/>
        <bgColor rgb="FFF0F4F8"/>
      </patternFill>
    </fill>
    <fill>
      <patternFill patternType="solid">
        <fgColor rgb="FFF0F4F8"/>
        <bgColor rgb="FFE0F5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6213E"/>
          <bgColor rgb="FF000000"/>
        </patternFill>
      </fill>
    </dxf>
    <dxf>
      <fill>
        <patternFill patternType="solid">
          <fgColor rgb="FFE0F5F1"/>
          <bgColor rgb="FF000000"/>
        </patternFill>
      </fill>
    </dxf>
    <dxf>
      <fill>
        <patternFill patternType="solid">
          <fgColor rgb="FFF0F4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9B8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CC77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B8E"/>
      <rgbColor rgb="FFC0C0C0"/>
      <rgbColor rgb="FF808080"/>
      <rgbColor rgb="FF9999FF"/>
      <rgbColor rgb="FFE94560"/>
      <rgbColor rgb="FFF0F4F8"/>
      <rgbColor rgb="FFE0F5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CC7700"/>
      <rgbColor rgb="FF8B5CF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9B8E"/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6" min="5" style="0" width="18"/>
    <col collapsed="false" customWidth="true" hidden="false" outlineLevel="0" max="7" min="7" style="0" width="28"/>
    <col collapsed="false" customWidth="true" hidden="false" outlineLevel="0" max="8" min="8" style="0" width="5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customFormat="false" ht="15" hidden="false" customHeight="false" outlineLevel="0" collapsed="false">
      <c r="A4" s="4" t="s">
        <v>9</v>
      </c>
      <c r="B4" s="4" t="s">
        <v>17</v>
      </c>
      <c r="C4" s="4" t="s">
        <v>18</v>
      </c>
      <c r="D4" s="4" t="s">
        <v>19</v>
      </c>
      <c r="E4" s="4" t="s">
        <v>13</v>
      </c>
      <c r="F4" s="4" t="s">
        <v>14</v>
      </c>
      <c r="G4" s="4" t="s">
        <v>20</v>
      </c>
      <c r="H4" s="4" t="s">
        <v>21</v>
      </c>
    </row>
    <row r="5" customFormat="false" ht="15" hidden="false" customHeight="false" outlineLevel="0" collapsed="false">
      <c r="A5" s="3" t="s">
        <v>9</v>
      </c>
      <c r="B5" s="3" t="s">
        <v>22</v>
      </c>
      <c r="C5" s="3" t="s">
        <v>23</v>
      </c>
      <c r="D5" s="3" t="s">
        <v>24</v>
      </c>
      <c r="E5" s="3" t="s">
        <v>13</v>
      </c>
      <c r="F5" s="3" t="s">
        <v>14</v>
      </c>
      <c r="G5" s="3" t="s">
        <v>25</v>
      </c>
      <c r="H5" s="3" t="s">
        <v>26</v>
      </c>
    </row>
    <row r="6" customFormat="false" ht="23.85" hidden="false" customHeight="false" outlineLevel="0" collapsed="false">
      <c r="A6" s="4" t="s">
        <v>9</v>
      </c>
      <c r="B6" s="4" t="s">
        <v>27</v>
      </c>
      <c r="C6" s="4" t="s">
        <v>28</v>
      </c>
      <c r="D6" s="4" t="s">
        <v>29</v>
      </c>
      <c r="E6" s="4" t="s">
        <v>13</v>
      </c>
      <c r="F6" s="4" t="s">
        <v>14</v>
      </c>
      <c r="G6" s="4" t="s">
        <v>30</v>
      </c>
      <c r="H6" s="4" t="s">
        <v>31</v>
      </c>
    </row>
    <row r="7" customFormat="false" ht="23.85" hidden="false" customHeight="false" outlineLevel="0" collapsed="false">
      <c r="A7" s="3" t="s">
        <v>9</v>
      </c>
      <c r="B7" s="3" t="s">
        <v>32</v>
      </c>
      <c r="C7" s="3" t="s">
        <v>33</v>
      </c>
      <c r="D7" s="3" t="s">
        <v>34</v>
      </c>
      <c r="E7" s="3" t="s">
        <v>13</v>
      </c>
      <c r="F7" s="3" t="s">
        <v>35</v>
      </c>
      <c r="G7" s="3" t="s">
        <v>36</v>
      </c>
      <c r="H7" s="3" t="s">
        <v>37</v>
      </c>
    </row>
    <row r="8" customFormat="false" ht="23.85" hidden="false" customHeight="false" outlineLevel="0" collapsed="false">
      <c r="A8" s="4" t="s">
        <v>9</v>
      </c>
      <c r="B8" s="4" t="s">
        <v>38</v>
      </c>
      <c r="C8" s="4" t="s">
        <v>39</v>
      </c>
      <c r="D8" s="4" t="s">
        <v>40</v>
      </c>
      <c r="E8" s="4" t="s">
        <v>13</v>
      </c>
      <c r="F8" s="4" t="s">
        <v>35</v>
      </c>
      <c r="G8" s="4" t="s">
        <v>41</v>
      </c>
      <c r="H8" s="4" t="s">
        <v>42</v>
      </c>
    </row>
    <row r="9" customFormat="false" ht="15" hidden="false" customHeight="false" outlineLevel="0" collapsed="false">
      <c r="A9" s="3" t="s">
        <v>9</v>
      </c>
      <c r="B9" s="3" t="s">
        <v>43</v>
      </c>
      <c r="C9" s="3" t="s">
        <v>44</v>
      </c>
      <c r="D9" s="3" t="s">
        <v>45</v>
      </c>
      <c r="E9" s="3" t="s">
        <v>13</v>
      </c>
      <c r="F9" s="3" t="s">
        <v>46</v>
      </c>
      <c r="G9" s="3" t="s">
        <v>47</v>
      </c>
      <c r="H9" s="3" t="s">
        <v>48</v>
      </c>
    </row>
    <row r="10" customFormat="false" ht="15" hidden="false" customHeight="false" outlineLevel="0" collapsed="false">
      <c r="A10" s="2" t="s">
        <v>49</v>
      </c>
      <c r="B10" s="2"/>
      <c r="C10" s="2"/>
      <c r="D10" s="2"/>
      <c r="E10" s="2"/>
      <c r="F10" s="2"/>
      <c r="G10" s="2"/>
      <c r="H10" s="2"/>
    </row>
    <row r="11" customFormat="false" ht="23.85" hidden="false" customHeight="false" outlineLevel="0" collapsed="false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13</v>
      </c>
      <c r="F11" s="3" t="s">
        <v>35</v>
      </c>
      <c r="G11" s="3" t="s">
        <v>54</v>
      </c>
      <c r="H11" s="3" t="s">
        <v>55</v>
      </c>
    </row>
    <row r="12" customFormat="false" ht="15" hidden="false" customHeight="false" outlineLevel="0" collapsed="false">
      <c r="A12" s="4" t="s">
        <v>50</v>
      </c>
      <c r="B12" s="4" t="s">
        <v>56</v>
      </c>
      <c r="C12" s="4" t="s">
        <v>57</v>
      </c>
      <c r="D12" s="4" t="s">
        <v>58</v>
      </c>
      <c r="E12" s="4" t="s">
        <v>13</v>
      </c>
      <c r="F12" s="4" t="s">
        <v>35</v>
      </c>
      <c r="G12" s="4" t="s">
        <v>59</v>
      </c>
      <c r="H12" s="4" t="s">
        <v>60</v>
      </c>
    </row>
    <row r="13" customFormat="false" ht="23.85" hidden="false" customHeight="false" outlineLevel="0" collapsed="false">
      <c r="A13" s="3" t="s">
        <v>50</v>
      </c>
      <c r="B13" s="3" t="s">
        <v>61</v>
      </c>
      <c r="C13" s="3" t="s">
        <v>62</v>
      </c>
      <c r="D13" s="3" t="s">
        <v>63</v>
      </c>
      <c r="E13" s="3" t="s">
        <v>13</v>
      </c>
      <c r="F13" s="3" t="s">
        <v>35</v>
      </c>
      <c r="G13" s="3" t="s">
        <v>64</v>
      </c>
      <c r="H13" s="3" t="s">
        <v>65</v>
      </c>
    </row>
    <row r="14" customFormat="false" ht="23.85" hidden="false" customHeight="false" outlineLevel="0" collapsed="false">
      <c r="A14" s="4" t="s">
        <v>50</v>
      </c>
      <c r="B14" s="4" t="s">
        <v>66</v>
      </c>
      <c r="C14" s="4" t="s">
        <v>67</v>
      </c>
      <c r="D14" s="4" t="s">
        <v>68</v>
      </c>
      <c r="E14" s="4" t="s">
        <v>13</v>
      </c>
      <c r="F14" s="4" t="s">
        <v>35</v>
      </c>
      <c r="G14" s="4" t="s">
        <v>69</v>
      </c>
      <c r="H14" s="4" t="s">
        <v>70</v>
      </c>
    </row>
    <row r="15" customFormat="false" ht="23.85" hidden="false" customHeight="false" outlineLevel="0" collapsed="false">
      <c r="A15" s="3" t="s">
        <v>50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75</v>
      </c>
      <c r="G15" s="3" t="s">
        <v>76</v>
      </c>
      <c r="H15" s="3" t="s">
        <v>77</v>
      </c>
    </row>
    <row r="16" customFormat="false" ht="15" hidden="false" customHeight="false" outlineLevel="0" collapsed="false">
      <c r="A16" s="2" t="s">
        <v>78</v>
      </c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3" t="s">
        <v>79</v>
      </c>
      <c r="B17" s="3" t="s">
        <v>80</v>
      </c>
      <c r="C17" s="3" t="s">
        <v>81</v>
      </c>
      <c r="D17" s="3" t="s">
        <v>82</v>
      </c>
      <c r="E17" s="3" t="s">
        <v>13</v>
      </c>
      <c r="F17" s="3" t="s">
        <v>35</v>
      </c>
      <c r="G17" s="3" t="s">
        <v>83</v>
      </c>
      <c r="H17" s="3" t="s">
        <v>84</v>
      </c>
    </row>
    <row r="18" customFormat="false" ht="15" hidden="false" customHeight="false" outlineLevel="0" collapsed="false">
      <c r="A18" s="4" t="s">
        <v>79</v>
      </c>
      <c r="B18" s="4" t="s">
        <v>85</v>
      </c>
      <c r="C18" s="4" t="s">
        <v>86</v>
      </c>
      <c r="D18" s="4" t="s">
        <v>87</v>
      </c>
      <c r="E18" s="4" t="s">
        <v>13</v>
      </c>
      <c r="F18" s="4" t="s">
        <v>35</v>
      </c>
      <c r="G18" s="4" t="s">
        <v>88</v>
      </c>
      <c r="H18" s="4" t="s">
        <v>89</v>
      </c>
    </row>
    <row r="19" customFormat="false" ht="15" hidden="false" customHeight="false" outlineLevel="0" collapsed="false">
      <c r="A19" s="3" t="s">
        <v>79</v>
      </c>
      <c r="B19" s="3" t="s">
        <v>90</v>
      </c>
      <c r="C19" s="3" t="s">
        <v>91</v>
      </c>
      <c r="D19" s="3" t="s">
        <v>92</v>
      </c>
      <c r="E19" s="3" t="s">
        <v>13</v>
      </c>
      <c r="F19" s="3" t="s">
        <v>93</v>
      </c>
      <c r="G19" s="3" t="s">
        <v>94</v>
      </c>
      <c r="H19" s="3" t="s">
        <v>95</v>
      </c>
    </row>
    <row r="20" customFormat="false" ht="15" hidden="false" customHeight="false" outlineLevel="0" collapsed="false">
      <c r="A20" s="2" t="s">
        <v>96</v>
      </c>
      <c r="B20" s="2"/>
      <c r="C20" s="2"/>
      <c r="D20" s="2"/>
      <c r="E20" s="2"/>
      <c r="F20" s="2"/>
      <c r="G20" s="2"/>
      <c r="H20" s="2"/>
    </row>
    <row r="21" customFormat="false" ht="23.85" hidden="false" customHeight="false" outlineLevel="0" collapsed="false">
      <c r="A21" s="3" t="s">
        <v>97</v>
      </c>
      <c r="B21" s="3" t="s">
        <v>98</v>
      </c>
      <c r="C21" s="3" t="s">
        <v>99</v>
      </c>
      <c r="D21" s="3" t="s">
        <v>100</v>
      </c>
      <c r="E21" s="3" t="s">
        <v>101</v>
      </c>
      <c r="F21" s="3" t="s">
        <v>102</v>
      </c>
      <c r="G21" s="3" t="s">
        <v>103</v>
      </c>
      <c r="H21" s="3" t="s">
        <v>104</v>
      </c>
    </row>
    <row r="22" customFormat="false" ht="23.85" hidden="false" customHeight="false" outlineLevel="0" collapsed="false">
      <c r="A22" s="4" t="s">
        <v>97</v>
      </c>
      <c r="B22" s="4" t="s">
        <v>105</v>
      </c>
      <c r="C22" s="4" t="s">
        <v>106</v>
      </c>
      <c r="D22" s="4" t="s">
        <v>107</v>
      </c>
      <c r="E22" s="4" t="s">
        <v>108</v>
      </c>
      <c r="F22" s="4" t="s">
        <v>102</v>
      </c>
      <c r="G22" s="4" t="s">
        <v>109</v>
      </c>
      <c r="H22" s="4" t="s">
        <v>110</v>
      </c>
    </row>
    <row r="23" customFormat="false" ht="23.85" hidden="false" customHeight="false" outlineLevel="0" collapsed="false">
      <c r="A23" s="3" t="s">
        <v>97</v>
      </c>
      <c r="B23" s="3" t="s">
        <v>111</v>
      </c>
      <c r="C23" s="3" t="s">
        <v>112</v>
      </c>
      <c r="D23" s="3" t="s">
        <v>113</v>
      </c>
      <c r="E23" s="3" t="s">
        <v>108</v>
      </c>
      <c r="F23" s="3" t="s">
        <v>114</v>
      </c>
      <c r="G23" s="3" t="s">
        <v>109</v>
      </c>
      <c r="H23" s="3" t="s">
        <v>115</v>
      </c>
    </row>
    <row r="24" customFormat="false" ht="23.85" hidden="false" customHeight="false" outlineLevel="0" collapsed="false">
      <c r="A24" s="4" t="s">
        <v>97</v>
      </c>
      <c r="B24" s="4" t="s">
        <v>116</v>
      </c>
      <c r="C24" s="4" t="s">
        <v>117</v>
      </c>
      <c r="D24" s="4" t="s">
        <v>118</v>
      </c>
      <c r="E24" s="4" t="s">
        <v>74</v>
      </c>
      <c r="F24" s="4" t="s">
        <v>119</v>
      </c>
      <c r="G24" s="4" t="s">
        <v>120</v>
      </c>
      <c r="H24" s="4" t="s">
        <v>121</v>
      </c>
    </row>
    <row r="25" customFormat="false" ht="15" hidden="false" customHeight="false" outlineLevel="0" collapsed="false">
      <c r="A25" s="2" t="s">
        <v>122</v>
      </c>
      <c r="B25" s="2"/>
      <c r="C25" s="2"/>
      <c r="D25" s="2"/>
      <c r="E25" s="2"/>
      <c r="F25" s="2"/>
      <c r="G25" s="2"/>
      <c r="H25" s="2"/>
    </row>
    <row r="26" customFormat="false" ht="23.85" hidden="false" customHeight="false" outlineLevel="0" collapsed="false">
      <c r="A26" s="4" t="s">
        <v>123</v>
      </c>
      <c r="B26" s="4" t="s">
        <v>124</v>
      </c>
      <c r="C26" s="4" t="s">
        <v>125</v>
      </c>
      <c r="D26" s="4" t="s">
        <v>126</v>
      </c>
      <c r="E26" s="4" t="s">
        <v>74</v>
      </c>
      <c r="F26" s="4" t="s">
        <v>35</v>
      </c>
      <c r="G26" s="4" t="s">
        <v>127</v>
      </c>
      <c r="H26" s="4" t="s">
        <v>128</v>
      </c>
    </row>
    <row r="27" customFormat="false" ht="23.85" hidden="false" customHeight="false" outlineLevel="0" collapsed="false">
      <c r="A27" s="3" t="s">
        <v>123</v>
      </c>
      <c r="B27" s="3" t="s">
        <v>129</v>
      </c>
      <c r="C27" s="3" t="s">
        <v>130</v>
      </c>
      <c r="D27" s="3" t="s">
        <v>131</v>
      </c>
      <c r="E27" s="3" t="s">
        <v>13</v>
      </c>
      <c r="F27" s="3" t="s">
        <v>35</v>
      </c>
      <c r="G27" s="3" t="s">
        <v>132</v>
      </c>
      <c r="H27" s="3" t="s">
        <v>133</v>
      </c>
    </row>
    <row r="28" customFormat="false" ht="23.85" hidden="false" customHeight="false" outlineLevel="0" collapsed="false">
      <c r="A28" s="4" t="s">
        <v>123</v>
      </c>
      <c r="B28" s="4" t="s">
        <v>134</v>
      </c>
      <c r="C28" s="4" t="s">
        <v>135</v>
      </c>
      <c r="D28" s="4" t="s">
        <v>136</v>
      </c>
      <c r="E28" s="4" t="s">
        <v>13</v>
      </c>
      <c r="F28" s="4" t="s">
        <v>137</v>
      </c>
      <c r="G28" s="4" t="s">
        <v>138</v>
      </c>
      <c r="H28" s="4" t="s">
        <v>139</v>
      </c>
    </row>
    <row r="29" customFormat="false" ht="15" hidden="false" customHeight="false" outlineLevel="0" collapsed="false">
      <c r="A29" s="2" t="s">
        <v>140</v>
      </c>
      <c r="B29" s="2"/>
      <c r="C29" s="2"/>
      <c r="D29" s="2"/>
      <c r="E29" s="2"/>
      <c r="F29" s="2"/>
      <c r="G29" s="2"/>
      <c r="H29" s="2"/>
    </row>
    <row r="30" customFormat="false" ht="23.85" hidden="false" customHeight="false" outlineLevel="0" collapsed="false">
      <c r="A30" s="4" t="s">
        <v>141</v>
      </c>
      <c r="B30" s="4" t="s">
        <v>142</v>
      </c>
      <c r="C30" s="4" t="s">
        <v>143</v>
      </c>
      <c r="D30" s="4" t="s">
        <v>144</v>
      </c>
      <c r="E30" s="4" t="s">
        <v>13</v>
      </c>
      <c r="F30" s="4" t="s">
        <v>35</v>
      </c>
      <c r="G30" s="4" t="s">
        <v>145</v>
      </c>
      <c r="H30" s="4" t="s">
        <v>146</v>
      </c>
    </row>
    <row r="31" customFormat="false" ht="15" hidden="false" customHeight="false" outlineLevel="0" collapsed="false">
      <c r="A31" s="3" t="s">
        <v>141</v>
      </c>
      <c r="B31" s="3" t="s">
        <v>147</v>
      </c>
      <c r="C31" s="3" t="s">
        <v>148</v>
      </c>
      <c r="D31" s="3" t="s">
        <v>149</v>
      </c>
      <c r="E31" s="3" t="s">
        <v>13</v>
      </c>
      <c r="F31" s="3" t="s">
        <v>35</v>
      </c>
      <c r="G31" s="3" t="s">
        <v>150</v>
      </c>
      <c r="H31" s="3" t="s">
        <v>151</v>
      </c>
    </row>
    <row r="32" customFormat="false" ht="23.85" hidden="false" customHeight="false" outlineLevel="0" collapsed="false">
      <c r="A32" s="4" t="s">
        <v>141</v>
      </c>
      <c r="B32" s="4" t="s">
        <v>152</v>
      </c>
      <c r="C32" s="4" t="s">
        <v>153</v>
      </c>
      <c r="D32" s="4" t="s">
        <v>154</v>
      </c>
      <c r="E32" s="4" t="s">
        <v>13</v>
      </c>
      <c r="F32" s="4" t="s">
        <v>35</v>
      </c>
      <c r="G32" s="4" t="s">
        <v>155</v>
      </c>
      <c r="H32" s="4" t="s">
        <v>156</v>
      </c>
    </row>
    <row r="33" customFormat="false" ht="23.85" hidden="false" customHeight="false" outlineLevel="0" collapsed="false">
      <c r="A33" s="3" t="s">
        <v>141</v>
      </c>
      <c r="B33" s="3" t="s">
        <v>157</v>
      </c>
      <c r="C33" s="3" t="s">
        <v>158</v>
      </c>
      <c r="D33" s="3" t="s">
        <v>159</v>
      </c>
      <c r="E33" s="3" t="s">
        <v>74</v>
      </c>
      <c r="F33" s="3" t="s">
        <v>75</v>
      </c>
      <c r="G33" s="3" t="s">
        <v>160</v>
      </c>
      <c r="H33" s="3" t="s">
        <v>161</v>
      </c>
    </row>
  </sheetData>
  <autoFilter ref="A1:H33"/>
  <mergeCells count="6">
    <mergeCell ref="A2:H2"/>
    <mergeCell ref="A10:H10"/>
    <mergeCell ref="A16:H16"/>
    <mergeCell ref="A20:H20"/>
    <mergeCell ref="A25:H25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6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customFormat="false" ht="15" hidden="false" customHeight="false" outlineLevel="0" collapsed="false">
      <c r="A2" s="2" t="s">
        <v>171</v>
      </c>
      <c r="B2" s="2"/>
      <c r="C2" s="2"/>
      <c r="D2" s="2"/>
      <c r="E2" s="2"/>
      <c r="F2" s="2"/>
      <c r="G2" s="2"/>
      <c r="H2" s="2"/>
      <c r="I2" s="2"/>
    </row>
    <row r="3" customFormat="false" ht="23.85" hidden="false" customHeight="false" outlineLevel="0" collapsed="false">
      <c r="A3" s="3" t="s">
        <v>172</v>
      </c>
      <c r="B3" s="3" t="s">
        <v>173</v>
      </c>
      <c r="C3" s="3" t="s">
        <v>174</v>
      </c>
      <c r="D3" s="5" t="s">
        <v>175</v>
      </c>
      <c r="E3" s="3" t="n">
        <v>4</v>
      </c>
      <c r="F3" s="3" t="s">
        <v>176</v>
      </c>
      <c r="G3" s="3" t="s">
        <v>177</v>
      </c>
      <c r="H3" s="3" t="s">
        <v>178</v>
      </c>
      <c r="I3" s="3"/>
    </row>
    <row r="4" customFormat="false" ht="23.85" hidden="false" customHeight="false" outlineLevel="0" collapsed="false">
      <c r="A4" s="4" t="s">
        <v>172</v>
      </c>
      <c r="B4" s="4" t="s">
        <v>179</v>
      </c>
      <c r="C4" s="4" t="s">
        <v>180</v>
      </c>
      <c r="D4" s="6" t="s">
        <v>175</v>
      </c>
      <c r="E4" s="4" t="n">
        <v>3</v>
      </c>
      <c r="F4" s="4" t="s">
        <v>181</v>
      </c>
      <c r="G4" s="4" t="s">
        <v>177</v>
      </c>
      <c r="H4" s="4" t="s">
        <v>178</v>
      </c>
      <c r="I4" s="4"/>
    </row>
    <row r="5" customFormat="false" ht="23.85" hidden="false" customHeight="false" outlineLevel="0" collapsed="false">
      <c r="A5" s="3" t="s">
        <v>172</v>
      </c>
      <c r="B5" s="3" t="s">
        <v>182</v>
      </c>
      <c r="C5" s="3" t="s">
        <v>183</v>
      </c>
      <c r="D5" s="5" t="s">
        <v>175</v>
      </c>
      <c r="E5" s="3" t="n">
        <v>3</v>
      </c>
      <c r="F5" s="3" t="s">
        <v>176</v>
      </c>
      <c r="G5" s="3" t="s">
        <v>177</v>
      </c>
      <c r="H5" s="3" t="s">
        <v>178</v>
      </c>
      <c r="I5" s="3"/>
    </row>
    <row r="6" customFormat="false" ht="23.85" hidden="false" customHeight="false" outlineLevel="0" collapsed="false">
      <c r="A6" s="4" t="s">
        <v>172</v>
      </c>
      <c r="B6" s="4" t="s">
        <v>184</v>
      </c>
      <c r="C6" s="4" t="s">
        <v>185</v>
      </c>
      <c r="D6" s="7" t="s">
        <v>186</v>
      </c>
      <c r="E6" s="4" t="n">
        <v>2</v>
      </c>
      <c r="F6" s="4" t="s">
        <v>181</v>
      </c>
      <c r="G6" s="4" t="s">
        <v>177</v>
      </c>
      <c r="H6" s="4" t="s">
        <v>178</v>
      </c>
      <c r="I6" s="4"/>
    </row>
    <row r="7" customFormat="false" ht="23.85" hidden="false" customHeight="false" outlineLevel="0" collapsed="false">
      <c r="A7" s="3" t="s">
        <v>172</v>
      </c>
      <c r="B7" s="3" t="s">
        <v>187</v>
      </c>
      <c r="C7" s="3" t="s">
        <v>188</v>
      </c>
      <c r="D7" s="8" t="s">
        <v>186</v>
      </c>
      <c r="E7" s="3" t="n">
        <v>1</v>
      </c>
      <c r="F7" s="3" t="s">
        <v>181</v>
      </c>
      <c r="G7" s="3" t="s">
        <v>177</v>
      </c>
      <c r="H7" s="3" t="s">
        <v>178</v>
      </c>
      <c r="I7" s="3"/>
    </row>
    <row r="8" customFormat="false" ht="15" hidden="false" customHeight="false" outlineLevel="0" collapsed="false">
      <c r="A8" s="4" t="s">
        <v>172</v>
      </c>
      <c r="B8" s="4" t="s">
        <v>189</v>
      </c>
      <c r="C8" s="4" t="s">
        <v>190</v>
      </c>
      <c r="D8" s="7" t="s">
        <v>186</v>
      </c>
      <c r="E8" s="4" t="n">
        <v>2</v>
      </c>
      <c r="F8" s="4" t="s">
        <v>176</v>
      </c>
      <c r="G8" s="4" t="s">
        <v>177</v>
      </c>
      <c r="H8" s="4" t="s">
        <v>178</v>
      </c>
      <c r="I8" s="4"/>
    </row>
    <row r="9" customFormat="false" ht="23.85" hidden="false" customHeight="false" outlineLevel="0" collapsed="false">
      <c r="A9" s="3" t="s">
        <v>172</v>
      </c>
      <c r="B9" s="3" t="s">
        <v>191</v>
      </c>
      <c r="C9" s="3" t="s">
        <v>192</v>
      </c>
      <c r="D9" s="9" t="s">
        <v>193</v>
      </c>
      <c r="E9" s="3" t="n">
        <v>4</v>
      </c>
      <c r="F9" s="3" t="s">
        <v>181</v>
      </c>
      <c r="G9" s="3" t="s">
        <v>177</v>
      </c>
      <c r="H9" s="3" t="s">
        <v>178</v>
      </c>
      <c r="I9" s="3"/>
    </row>
    <row r="10" customFormat="false" ht="23.85" hidden="false" customHeight="false" outlineLevel="0" collapsed="false">
      <c r="A10" s="4" t="s">
        <v>172</v>
      </c>
      <c r="B10" s="4" t="s">
        <v>194</v>
      </c>
      <c r="C10" s="4" t="s">
        <v>195</v>
      </c>
      <c r="D10" s="6" t="s">
        <v>175</v>
      </c>
      <c r="E10" s="4" t="n">
        <v>1</v>
      </c>
      <c r="F10" s="4" t="s">
        <v>176</v>
      </c>
      <c r="G10" s="4" t="s">
        <v>177</v>
      </c>
      <c r="H10" s="4" t="s">
        <v>178</v>
      </c>
      <c r="I10" s="4"/>
    </row>
    <row r="11" customFormat="false" ht="15" hidden="false" customHeight="false" outlineLevel="0" collapsed="false">
      <c r="A11" s="2" t="s">
        <v>196</v>
      </c>
      <c r="B11" s="2"/>
      <c r="C11" s="2"/>
      <c r="D11" s="2"/>
      <c r="E11" s="2"/>
      <c r="F11" s="2"/>
      <c r="G11" s="2"/>
      <c r="H11" s="2"/>
      <c r="I11" s="2"/>
    </row>
    <row r="12" customFormat="false" ht="23.85" hidden="false" customHeight="false" outlineLevel="0" collapsed="false">
      <c r="A12" s="4" t="s">
        <v>197</v>
      </c>
      <c r="B12" s="4" t="s">
        <v>198</v>
      </c>
      <c r="C12" s="4" t="s">
        <v>199</v>
      </c>
      <c r="D12" s="6" t="s">
        <v>175</v>
      </c>
      <c r="E12" s="4" t="n">
        <v>2</v>
      </c>
      <c r="F12" s="4" t="s">
        <v>200</v>
      </c>
      <c r="G12" s="4" t="s">
        <v>177</v>
      </c>
      <c r="H12" s="4" t="s">
        <v>178</v>
      </c>
      <c r="I12" s="4"/>
    </row>
    <row r="13" customFormat="false" ht="23.85" hidden="false" customHeight="false" outlineLevel="0" collapsed="false">
      <c r="A13" s="3" t="s">
        <v>197</v>
      </c>
      <c r="B13" s="3" t="s">
        <v>201</v>
      </c>
      <c r="C13" s="3" t="s">
        <v>202</v>
      </c>
      <c r="D13" s="5" t="s">
        <v>175</v>
      </c>
      <c r="E13" s="3" t="n">
        <v>1</v>
      </c>
      <c r="F13" s="3" t="s">
        <v>203</v>
      </c>
      <c r="G13" s="3" t="s">
        <v>177</v>
      </c>
      <c r="H13" s="3" t="s">
        <v>178</v>
      </c>
      <c r="I13" s="3"/>
    </row>
    <row r="14" customFormat="false" ht="23.85" hidden="false" customHeight="false" outlineLevel="0" collapsed="false">
      <c r="A14" s="4" t="s">
        <v>197</v>
      </c>
      <c r="B14" s="4" t="s">
        <v>204</v>
      </c>
      <c r="C14" s="4" t="s">
        <v>205</v>
      </c>
      <c r="D14" s="7" t="s">
        <v>186</v>
      </c>
      <c r="E14" s="4" t="n">
        <v>1</v>
      </c>
      <c r="F14" s="4" t="s">
        <v>206</v>
      </c>
      <c r="G14" s="4" t="s">
        <v>177</v>
      </c>
      <c r="H14" s="4" t="s">
        <v>178</v>
      </c>
      <c r="I14" s="4"/>
    </row>
    <row r="15" customFormat="false" ht="23.85" hidden="false" customHeight="false" outlineLevel="0" collapsed="false">
      <c r="A15" s="3" t="s">
        <v>197</v>
      </c>
      <c r="B15" s="3" t="s">
        <v>207</v>
      </c>
      <c r="C15" s="3" t="s">
        <v>208</v>
      </c>
      <c r="D15" s="8" t="s">
        <v>186</v>
      </c>
      <c r="E15" s="3" t="n">
        <v>2</v>
      </c>
      <c r="F15" s="3" t="s">
        <v>206</v>
      </c>
      <c r="G15" s="3" t="s">
        <v>177</v>
      </c>
      <c r="H15" s="3" t="s">
        <v>178</v>
      </c>
      <c r="I15" s="3"/>
    </row>
    <row r="16" customFormat="false" ht="15" hidden="false" customHeight="false" outlineLevel="0" collapsed="false">
      <c r="A16" s="4" t="s">
        <v>197</v>
      </c>
      <c r="B16" s="4" t="s">
        <v>209</v>
      </c>
      <c r="C16" s="4" t="s">
        <v>210</v>
      </c>
      <c r="D16" s="7" t="s">
        <v>186</v>
      </c>
      <c r="E16" s="4" t="n">
        <v>1</v>
      </c>
      <c r="F16" s="4" t="s">
        <v>211</v>
      </c>
      <c r="G16" s="4" t="s">
        <v>177</v>
      </c>
      <c r="H16" s="4" t="s">
        <v>178</v>
      </c>
      <c r="I16" s="4"/>
    </row>
    <row r="17" customFormat="false" ht="15" hidden="false" customHeight="false" outlineLevel="0" collapsed="false">
      <c r="A17" s="2" t="s">
        <v>212</v>
      </c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4" t="s">
        <v>213</v>
      </c>
      <c r="B18" s="4" t="s">
        <v>214</v>
      </c>
      <c r="C18" s="4" t="s">
        <v>215</v>
      </c>
      <c r="D18" s="6" t="s">
        <v>175</v>
      </c>
      <c r="E18" s="4" t="n">
        <v>6</v>
      </c>
      <c r="F18" s="4" t="s">
        <v>216</v>
      </c>
      <c r="G18" s="4" t="s">
        <v>177</v>
      </c>
      <c r="H18" s="4" t="s">
        <v>178</v>
      </c>
      <c r="I18" s="4"/>
    </row>
    <row r="19" customFormat="false" ht="15" hidden="false" customHeight="false" outlineLevel="0" collapsed="false">
      <c r="A19" s="3" t="s">
        <v>213</v>
      </c>
      <c r="B19" s="3" t="s">
        <v>217</v>
      </c>
      <c r="C19" s="3" t="s">
        <v>218</v>
      </c>
      <c r="D19" s="9" t="s">
        <v>193</v>
      </c>
      <c r="E19" s="3" t="n">
        <v>2</v>
      </c>
      <c r="F19" s="3" t="s">
        <v>219</v>
      </c>
      <c r="G19" s="3" t="s">
        <v>177</v>
      </c>
      <c r="H19" s="3" t="s">
        <v>178</v>
      </c>
      <c r="I19" s="3"/>
    </row>
    <row r="20" customFormat="false" ht="35.05" hidden="false" customHeight="false" outlineLevel="0" collapsed="false">
      <c r="A20" s="4" t="s">
        <v>213</v>
      </c>
      <c r="B20" s="4" t="s">
        <v>220</v>
      </c>
      <c r="C20" s="4" t="s">
        <v>221</v>
      </c>
      <c r="D20" s="7" t="s">
        <v>186</v>
      </c>
      <c r="E20" s="4" t="n">
        <v>3</v>
      </c>
      <c r="F20" s="4" t="s">
        <v>222</v>
      </c>
      <c r="G20" s="4" t="s">
        <v>177</v>
      </c>
      <c r="H20" s="4" t="s">
        <v>178</v>
      </c>
      <c r="I20" s="4"/>
    </row>
    <row r="21" customFormat="false" ht="23.85" hidden="false" customHeight="false" outlineLevel="0" collapsed="false">
      <c r="A21" s="3" t="s">
        <v>213</v>
      </c>
      <c r="B21" s="3" t="s">
        <v>223</v>
      </c>
      <c r="C21" s="3" t="s">
        <v>224</v>
      </c>
      <c r="D21" s="8" t="s">
        <v>186</v>
      </c>
      <c r="E21" s="3" t="n">
        <v>2</v>
      </c>
      <c r="F21" s="3" t="s">
        <v>225</v>
      </c>
      <c r="G21" s="3" t="s">
        <v>177</v>
      </c>
      <c r="H21" s="3" t="s">
        <v>178</v>
      </c>
      <c r="I21" s="3"/>
    </row>
    <row r="22" customFormat="false" ht="23.85" hidden="false" customHeight="false" outlineLevel="0" collapsed="false">
      <c r="A22" s="4" t="s">
        <v>213</v>
      </c>
      <c r="B22" s="4" t="s">
        <v>226</v>
      </c>
      <c r="C22" s="4" t="s">
        <v>227</v>
      </c>
      <c r="D22" s="7" t="s">
        <v>186</v>
      </c>
      <c r="E22" s="4" t="n">
        <v>1</v>
      </c>
      <c r="F22" s="4" t="s">
        <v>228</v>
      </c>
      <c r="G22" s="4" t="s">
        <v>177</v>
      </c>
      <c r="H22" s="4" t="s">
        <v>178</v>
      </c>
      <c r="I22" s="4"/>
    </row>
    <row r="23" customFormat="false" ht="15" hidden="false" customHeight="false" outlineLevel="0" collapsed="false">
      <c r="A23" s="2" t="s">
        <v>229</v>
      </c>
      <c r="B23" s="2"/>
      <c r="C23" s="2"/>
      <c r="D23" s="2"/>
      <c r="E23" s="2"/>
      <c r="F23" s="2"/>
      <c r="G23" s="2"/>
      <c r="H23" s="2"/>
      <c r="I23" s="2"/>
    </row>
    <row r="24" customFormat="false" ht="23.85" hidden="false" customHeight="false" outlineLevel="0" collapsed="false">
      <c r="A24" s="4" t="s">
        <v>230</v>
      </c>
      <c r="B24" s="4" t="s">
        <v>231</v>
      </c>
      <c r="C24" s="4" t="s">
        <v>232</v>
      </c>
      <c r="D24" s="6" t="s">
        <v>175</v>
      </c>
      <c r="E24" s="4" t="n">
        <v>3</v>
      </c>
      <c r="F24" s="4" t="s">
        <v>233</v>
      </c>
      <c r="G24" s="4" t="s">
        <v>177</v>
      </c>
      <c r="H24" s="4" t="s">
        <v>178</v>
      </c>
      <c r="I24" s="4"/>
    </row>
    <row r="25" customFormat="false" ht="23.85" hidden="false" customHeight="false" outlineLevel="0" collapsed="false">
      <c r="A25" s="3" t="s">
        <v>230</v>
      </c>
      <c r="B25" s="3" t="s">
        <v>234</v>
      </c>
      <c r="C25" s="3" t="s">
        <v>235</v>
      </c>
      <c r="D25" s="5" t="s">
        <v>175</v>
      </c>
      <c r="E25" s="3" t="n">
        <v>4</v>
      </c>
      <c r="F25" s="3" t="s">
        <v>236</v>
      </c>
      <c r="G25" s="3" t="s">
        <v>177</v>
      </c>
      <c r="H25" s="3" t="s">
        <v>178</v>
      </c>
      <c r="I25" s="3"/>
    </row>
    <row r="26" customFormat="false" ht="23.85" hidden="false" customHeight="false" outlineLevel="0" collapsed="false">
      <c r="A26" s="4" t="s">
        <v>230</v>
      </c>
      <c r="B26" s="4" t="s">
        <v>237</v>
      </c>
      <c r="C26" s="4" t="s">
        <v>238</v>
      </c>
      <c r="D26" s="7" t="s">
        <v>186</v>
      </c>
      <c r="E26" s="4" t="n">
        <v>2</v>
      </c>
      <c r="F26" s="4" t="s">
        <v>236</v>
      </c>
      <c r="G26" s="4" t="s">
        <v>177</v>
      </c>
      <c r="H26" s="4" t="s">
        <v>178</v>
      </c>
      <c r="I26" s="4"/>
    </row>
    <row r="27" customFormat="false" ht="23.85" hidden="false" customHeight="false" outlineLevel="0" collapsed="false">
      <c r="A27" s="3" t="s">
        <v>230</v>
      </c>
      <c r="B27" s="3" t="s">
        <v>239</v>
      </c>
      <c r="C27" s="3" t="s">
        <v>240</v>
      </c>
      <c r="D27" s="8" t="s">
        <v>186</v>
      </c>
      <c r="E27" s="3" t="n">
        <v>1</v>
      </c>
      <c r="F27" s="3" t="s">
        <v>241</v>
      </c>
      <c r="G27" s="3" t="s">
        <v>177</v>
      </c>
      <c r="H27" s="3" t="s">
        <v>178</v>
      </c>
      <c r="I27" s="3"/>
    </row>
    <row r="28" customFormat="false" ht="23.85" hidden="false" customHeight="false" outlineLevel="0" collapsed="false">
      <c r="A28" s="4" t="s">
        <v>230</v>
      </c>
      <c r="B28" s="4" t="s">
        <v>242</v>
      </c>
      <c r="C28" s="4" t="s">
        <v>243</v>
      </c>
      <c r="D28" s="7" t="s">
        <v>186</v>
      </c>
      <c r="E28" s="4" t="n">
        <v>2</v>
      </c>
      <c r="F28" s="4" t="s">
        <v>244</v>
      </c>
      <c r="G28" s="4" t="s">
        <v>177</v>
      </c>
      <c r="H28" s="4" t="s">
        <v>178</v>
      </c>
      <c r="I28" s="4"/>
    </row>
    <row r="29" customFormat="false" ht="23.85" hidden="false" customHeight="false" outlineLevel="0" collapsed="false">
      <c r="A29" s="3" t="s">
        <v>230</v>
      </c>
      <c r="B29" s="3" t="s">
        <v>245</v>
      </c>
      <c r="C29" s="3" t="s">
        <v>246</v>
      </c>
      <c r="D29" s="5" t="s">
        <v>175</v>
      </c>
      <c r="E29" s="3" t="n">
        <v>1</v>
      </c>
      <c r="F29" s="3" t="s">
        <v>247</v>
      </c>
      <c r="G29" s="3" t="s">
        <v>177</v>
      </c>
      <c r="H29" s="3" t="s">
        <v>178</v>
      </c>
      <c r="I29" s="3"/>
    </row>
    <row r="30" customFormat="false" ht="23.85" hidden="false" customHeight="false" outlineLevel="0" collapsed="false">
      <c r="A30" s="4" t="s">
        <v>230</v>
      </c>
      <c r="B30" s="4" t="s">
        <v>248</v>
      </c>
      <c r="C30" s="4" t="s">
        <v>249</v>
      </c>
      <c r="D30" s="6" t="s">
        <v>175</v>
      </c>
      <c r="E30" s="4" t="n">
        <v>3</v>
      </c>
      <c r="F30" s="4" t="s">
        <v>250</v>
      </c>
      <c r="G30" s="4" t="s">
        <v>177</v>
      </c>
      <c r="H30" s="4" t="s">
        <v>178</v>
      </c>
      <c r="I30" s="4"/>
    </row>
  </sheetData>
  <autoFilter ref="A1:I30"/>
  <mergeCells count="4">
    <mergeCell ref="A2:I2"/>
    <mergeCell ref="A11:I11"/>
    <mergeCell ref="A17:I17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30"/>
    <col collapsed="false" customWidth="true" hidden="false" outlineLevel="0" max="12" min="12" style="0" width="20"/>
  </cols>
  <sheetData>
    <row r="1" customFormat="false" ht="26.85" hidden="false" customHeight="false" outlineLevel="0" collapsed="false">
      <c r="A1" s="1" t="s">
        <v>251</v>
      </c>
      <c r="B1" s="1" t="s">
        <v>252</v>
      </c>
      <c r="C1" s="1" t="s">
        <v>10</v>
      </c>
      <c r="D1" s="1" t="s">
        <v>17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</row>
    <row r="2" customFormat="false" ht="15" hidden="false" customHeight="false" outlineLevel="0" collapsed="false">
      <c r="A2" s="3" t="n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 t="n">
        <f aca="false">C2</f>
        <v>0</v>
      </c>
    </row>
    <row r="3" customFormat="false" ht="15" hidden="false" customHeight="false" outlineLevel="0" collapsed="false">
      <c r="A3" s="4" t="n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 t="n">
        <f aca="false">L2+C3</f>
        <v>0</v>
      </c>
    </row>
    <row r="4" customFormat="false" ht="15" hidden="false" customHeight="false" outlineLevel="0" collapsed="false">
      <c r="A4" s="3" t="n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 t="n">
        <f aca="false">L3+C4</f>
        <v>0</v>
      </c>
    </row>
    <row r="5" customFormat="false" ht="15" hidden="false" customHeight="false" outlineLevel="0" collapsed="false">
      <c r="A5" s="4" t="n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 t="n">
        <f aca="false">L4+C5</f>
        <v>0</v>
      </c>
    </row>
    <row r="6" customFormat="false" ht="15" hidden="false" customHeight="false" outlineLevel="0" collapsed="false">
      <c r="A6" s="3" t="n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 t="n">
        <f aca="false">L5+C6</f>
        <v>0</v>
      </c>
    </row>
    <row r="7" customFormat="false" ht="15" hidden="false" customHeight="false" outlineLevel="0" collapsed="false">
      <c r="A7" s="4" t="n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 t="n">
        <f aca="false">L6+C7</f>
        <v>0</v>
      </c>
    </row>
    <row r="8" customFormat="false" ht="15" hidden="false" customHeight="false" outlineLevel="0" collapsed="false">
      <c r="A8" s="3" t="n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 t="n">
        <f aca="false">L7+C8</f>
        <v>0</v>
      </c>
    </row>
    <row r="9" customFormat="false" ht="15" hidden="false" customHeight="false" outlineLevel="0" collapsed="false">
      <c r="A9" s="4" t="n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 t="n">
        <f aca="false">L8+C9</f>
        <v>0</v>
      </c>
    </row>
    <row r="10" customFormat="false" ht="15" hidden="false" customHeight="false" outlineLevel="0" collapsed="false">
      <c r="A10" s="3" t="n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n">
        <f aca="false">L9+C10</f>
        <v>0</v>
      </c>
    </row>
    <row r="11" customFormat="false" ht="15" hidden="false" customHeight="false" outlineLevel="0" collapsed="false">
      <c r="A11" s="4" t="n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 t="n">
        <f aca="false">L10+C11</f>
        <v>0</v>
      </c>
    </row>
    <row r="12" customFormat="false" ht="15" hidden="false" customHeight="false" outlineLevel="0" collapsed="false">
      <c r="A12" s="3" t="n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 t="n">
        <f aca="false">L11+C12</f>
        <v>0</v>
      </c>
    </row>
    <row r="13" customFormat="false" ht="15" hidden="false" customHeight="false" outlineLevel="0" collapsed="false">
      <c r="A13" s="4" t="n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 t="n">
        <f aca="false">L12+C13</f>
        <v>0</v>
      </c>
    </row>
    <row r="14" customFormat="false" ht="15" hidden="false" customHeight="false" outlineLevel="0" collapsed="false">
      <c r="A14" s="3" t="n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 t="n">
        <f aca="false">L13+C14</f>
        <v>0</v>
      </c>
    </row>
    <row r="15" customFormat="false" ht="15" hidden="false" customHeight="false" outlineLevel="0" collapsed="false">
      <c r="A15" s="4" t="n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 t="n">
        <f aca="false">L14+C15</f>
        <v>0</v>
      </c>
    </row>
    <row r="16" customFormat="false" ht="15" hidden="false" customHeight="false" outlineLevel="0" collapsed="false">
      <c r="A16" s="3" t="n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 t="n">
        <f aca="false">L15+C16</f>
        <v>0</v>
      </c>
    </row>
    <row r="17" customFormat="false" ht="15" hidden="false" customHeight="false" outlineLevel="0" collapsed="false">
      <c r="A17" s="4" t="n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 t="n">
        <f aca="false">L16+C17</f>
        <v>0</v>
      </c>
    </row>
    <row r="18" customFormat="false" ht="15" hidden="false" customHeight="false" outlineLevel="0" collapsed="false">
      <c r="A18" s="3" t="n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 t="n">
        <f aca="false">L17+C18</f>
        <v>0</v>
      </c>
    </row>
    <row r="19" customFormat="false" ht="15" hidden="false" customHeight="false" outlineLevel="0" collapsed="false">
      <c r="A19" s="4" t="n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 t="n">
        <f aca="false">L18+C19</f>
        <v>0</v>
      </c>
    </row>
    <row r="20" customFormat="false" ht="15" hidden="false" customHeight="false" outlineLevel="0" collapsed="false">
      <c r="A20" s="3" t="n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 t="n">
        <f aca="false">L19+C20</f>
        <v>0</v>
      </c>
    </row>
    <row r="21" customFormat="false" ht="15" hidden="false" customHeight="false" outlineLevel="0" collapsed="false">
      <c r="A21" s="4" t="n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 t="n">
        <f aca="false">L20+C21</f>
        <v>0</v>
      </c>
    </row>
    <row r="22" customFormat="false" ht="15" hidden="false" customHeight="false" outlineLevel="0" collapsed="false">
      <c r="A22" s="3" t="n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 t="n">
        <f aca="false">L21+C22</f>
        <v>0</v>
      </c>
    </row>
    <row r="23" customFormat="false" ht="15" hidden="false" customHeight="false" outlineLevel="0" collapsed="false">
      <c r="A23" s="4" t="n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 t="n">
        <f aca="false">L22+C23</f>
        <v>0</v>
      </c>
    </row>
    <row r="24" customFormat="false" ht="15" hidden="false" customHeight="false" outlineLevel="0" collapsed="false">
      <c r="A24" s="3" t="n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 t="n">
        <f aca="false">L23+C24</f>
        <v>0</v>
      </c>
    </row>
    <row r="25" customFormat="false" ht="15" hidden="false" customHeight="false" outlineLevel="0" collapsed="false">
      <c r="A25" s="4" t="n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 t="n">
        <f aca="false">L24+C25</f>
        <v>0</v>
      </c>
    </row>
    <row r="26" customFormat="false" ht="15" hidden="false" customHeight="false" outlineLevel="0" collapsed="false">
      <c r="A26" s="3" t="n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 t="n">
        <f aca="false">L25+C26</f>
        <v>0</v>
      </c>
    </row>
    <row r="27" customFormat="false" ht="15" hidden="false" customHeight="false" outlineLevel="0" collapsed="false">
      <c r="A27" s="4" t="n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 t="n">
        <f aca="false">L26+C27</f>
        <v>0</v>
      </c>
    </row>
    <row r="28" customFormat="false" ht="15" hidden="false" customHeight="false" outlineLevel="0" collapsed="false">
      <c r="A28" s="3" t="n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 t="n">
        <f aca="false">L27+C28</f>
        <v>0</v>
      </c>
    </row>
    <row r="29" customFormat="false" ht="15" hidden="false" customHeight="false" outlineLevel="0" collapsed="false">
      <c r="A29" s="4" t="n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 t="n">
        <f aca="false">L28+C29</f>
        <v>0</v>
      </c>
    </row>
    <row r="30" customFormat="false" ht="15" hidden="false" customHeight="false" outlineLevel="0" collapsed="false">
      <c r="A30" s="3" t="n">
        <v>29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 t="n">
        <f aca="false">L29+C30</f>
        <v>0</v>
      </c>
    </row>
    <row r="31" customFormat="false" ht="15" hidden="false" customHeight="false" outlineLevel="0" collapsed="false">
      <c r="A31" s="4" t="n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 t="n">
        <f aca="false">L30+C31</f>
        <v>0</v>
      </c>
    </row>
    <row r="32" customFormat="false" ht="15" hidden="false" customHeight="true" outlineLevel="0" collapsed="false">
      <c r="A32" s="1" t="s">
        <v>261</v>
      </c>
      <c r="B32" s="1"/>
      <c r="C32" s="1" t="n">
        <f aca="false">SUM(C2:C31)</f>
        <v>0</v>
      </c>
      <c r="D32" s="1" t="n">
        <f aca="false">MAX(D2:D31)</f>
        <v>0</v>
      </c>
      <c r="E32" s="1" t="str">
        <f aca="false">IFERROR(AVERAGE(E2:E31),"")</f>
        <v/>
      </c>
      <c r="F32" s="1" t="str">
        <f aca="false">IFERROR(AVERAGE(F2:F31),"")</f>
        <v/>
      </c>
      <c r="G32" s="1" t="str">
        <f aca="false">IFERROR(AVERAGE(G2:G31),"")</f>
        <v/>
      </c>
      <c r="H32" s="1"/>
      <c r="I32" s="1"/>
      <c r="J32" s="1" t="n">
        <f aca="false">SUM(J2:J31)</f>
        <v>0</v>
      </c>
      <c r="K32" s="1"/>
      <c r="L32" s="1"/>
    </row>
  </sheetData>
  <mergeCells count="1"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2" t="s">
        <v>262</v>
      </c>
      <c r="B1" s="2"/>
    </row>
    <row r="2" customFormat="false" ht="15" hidden="false" customHeight="false" outlineLevel="0" collapsed="false">
      <c r="A2" s="10" t="s">
        <v>263</v>
      </c>
      <c r="B2" s="11"/>
    </row>
    <row r="3" customFormat="false" ht="15" hidden="false" customHeight="false" outlineLevel="0" collapsed="false">
      <c r="A3" s="10" t="s">
        <v>264</v>
      </c>
      <c r="B3" s="11"/>
    </row>
    <row r="4" customFormat="false" ht="15" hidden="false" customHeight="false" outlineLevel="0" collapsed="false">
      <c r="A4" s="10" t="s">
        <v>265</v>
      </c>
      <c r="B4" s="11" t="s">
        <v>266</v>
      </c>
    </row>
    <row r="5" customFormat="false" ht="15" hidden="false" customHeight="false" outlineLevel="0" collapsed="false">
      <c r="A5" s="10" t="s">
        <v>267</v>
      </c>
      <c r="B5" s="11" t="s">
        <v>268</v>
      </c>
    </row>
    <row r="6" customFormat="false" ht="15" hidden="false" customHeight="false" outlineLevel="0" collapsed="false">
      <c r="A6" s="10" t="s">
        <v>269</v>
      </c>
      <c r="B6" s="11" t="s">
        <v>270</v>
      </c>
    </row>
    <row r="7" customFormat="false" ht="15" hidden="false" customHeight="false" outlineLevel="0" collapsed="false">
      <c r="A7" s="10" t="s">
        <v>271</v>
      </c>
      <c r="B7" s="11" t="s">
        <v>270</v>
      </c>
    </row>
    <row r="8" customFormat="false" ht="15" hidden="false" customHeight="false" outlineLevel="0" collapsed="false">
      <c r="A8" s="10" t="s">
        <v>272</v>
      </c>
      <c r="B8" s="11" t="s">
        <v>273</v>
      </c>
    </row>
    <row r="9" customFormat="false" ht="15" hidden="false" customHeight="false" outlineLevel="0" collapsed="false">
      <c r="A9" s="12"/>
      <c r="B9" s="13"/>
    </row>
    <row r="10" customFormat="false" ht="15" hidden="false" customHeight="false" outlineLevel="0" collapsed="false">
      <c r="A10" s="2" t="s">
        <v>274</v>
      </c>
      <c r="B10" s="2"/>
    </row>
    <row r="11" customFormat="false" ht="15" hidden="false" customHeight="false" outlineLevel="0" collapsed="false">
      <c r="A11" s="10" t="s">
        <v>275</v>
      </c>
      <c r="B11" s="11"/>
    </row>
    <row r="12" customFormat="false" ht="15" hidden="false" customHeight="false" outlineLevel="0" collapsed="false">
      <c r="A12" s="10" t="s">
        <v>276</v>
      </c>
      <c r="B12" s="11"/>
    </row>
    <row r="13" customFormat="false" ht="15" hidden="false" customHeight="false" outlineLevel="0" collapsed="false">
      <c r="A13" s="10" t="s">
        <v>277</v>
      </c>
      <c r="B13" s="11"/>
    </row>
    <row r="14" customFormat="false" ht="15" hidden="false" customHeight="false" outlineLevel="0" collapsed="false">
      <c r="A14" s="10" t="s">
        <v>278</v>
      </c>
      <c r="B14" s="11" t="s">
        <v>270</v>
      </c>
    </row>
    <row r="15" customFormat="false" ht="15" hidden="false" customHeight="false" outlineLevel="0" collapsed="false">
      <c r="A15" s="12"/>
      <c r="B15" s="13"/>
    </row>
    <row r="16" customFormat="false" ht="15" hidden="false" customHeight="false" outlineLevel="0" collapsed="false">
      <c r="A16" s="2" t="s">
        <v>279</v>
      </c>
      <c r="B16" s="2"/>
    </row>
    <row r="17" customFormat="false" ht="15" hidden="false" customHeight="false" outlineLevel="0" collapsed="false">
      <c r="A17" s="10" t="s">
        <v>10</v>
      </c>
      <c r="B17" s="11"/>
    </row>
    <row r="18" customFormat="false" ht="15" hidden="false" customHeight="false" outlineLevel="0" collapsed="false">
      <c r="A18" s="10" t="s">
        <v>17</v>
      </c>
      <c r="B18" s="11"/>
    </row>
    <row r="19" customFormat="false" ht="15" hidden="false" customHeight="false" outlineLevel="0" collapsed="false">
      <c r="A19" s="10" t="s">
        <v>280</v>
      </c>
      <c r="B19" s="11"/>
    </row>
    <row r="20" customFormat="false" ht="15" hidden="false" customHeight="false" outlineLevel="0" collapsed="false">
      <c r="A20" s="10" t="s">
        <v>51</v>
      </c>
      <c r="B20" s="11"/>
    </row>
    <row r="21" customFormat="false" ht="15" hidden="false" customHeight="false" outlineLevel="0" collapsed="false">
      <c r="A21" s="10" t="s">
        <v>281</v>
      </c>
      <c r="B21" s="11"/>
    </row>
    <row r="22" customFormat="false" ht="35.05" hidden="false" customHeight="false" outlineLevel="0" collapsed="false">
      <c r="A22" s="10" t="s">
        <v>282</v>
      </c>
      <c r="B22" s="11" t="s">
        <v>283</v>
      </c>
    </row>
    <row r="23" customFormat="false" ht="15" hidden="false" customHeight="false" outlineLevel="0" collapsed="false">
      <c r="A23" s="10" t="s">
        <v>43</v>
      </c>
      <c r="B23" s="11"/>
    </row>
    <row r="24" customFormat="false" ht="15" hidden="false" customHeight="false" outlineLevel="0" collapsed="false">
      <c r="A24" s="10" t="s">
        <v>284</v>
      </c>
      <c r="B24" s="11"/>
    </row>
    <row r="25" customFormat="false" ht="15" hidden="false" customHeight="false" outlineLevel="0" collapsed="false">
      <c r="A25" s="10" t="s">
        <v>285</v>
      </c>
      <c r="B25" s="11"/>
    </row>
    <row r="26" customFormat="false" ht="15" hidden="false" customHeight="false" outlineLevel="0" collapsed="false">
      <c r="A26" s="12"/>
      <c r="B26" s="13"/>
    </row>
    <row r="27" customFormat="false" ht="15" hidden="false" customHeight="false" outlineLevel="0" collapsed="false">
      <c r="A27" s="2" t="s">
        <v>286</v>
      </c>
      <c r="B27" s="2"/>
    </row>
    <row r="28" customFormat="false" ht="15" hidden="false" customHeight="false" outlineLevel="0" collapsed="false">
      <c r="A28" s="10" t="s">
        <v>287</v>
      </c>
      <c r="B28" s="11" t="s">
        <v>288</v>
      </c>
    </row>
    <row r="29" customFormat="false" ht="15" hidden="false" customHeight="false" outlineLevel="0" collapsed="false">
      <c r="A29" s="10" t="s">
        <v>289</v>
      </c>
      <c r="B29" s="11"/>
    </row>
    <row r="30" customFormat="false" ht="15" hidden="false" customHeight="false" outlineLevel="0" collapsed="false">
      <c r="A30" s="10" t="s">
        <v>290</v>
      </c>
      <c r="B30" s="11"/>
    </row>
    <row r="31" customFormat="false" ht="15" hidden="false" customHeight="false" outlineLevel="0" collapsed="false">
      <c r="A31" s="10" t="s">
        <v>291</v>
      </c>
      <c r="B31" s="11"/>
    </row>
    <row r="32" customFormat="false" ht="15" hidden="false" customHeight="false" outlineLevel="0" collapsed="false">
      <c r="A32" s="12"/>
      <c r="B32" s="13"/>
    </row>
    <row r="33" customFormat="false" ht="15" hidden="false" customHeight="false" outlineLevel="0" collapsed="false">
      <c r="A33" s="2" t="s">
        <v>292</v>
      </c>
      <c r="B33" s="2"/>
    </row>
    <row r="34" customFormat="false" ht="15" hidden="false" customHeight="false" outlineLevel="0" collapsed="false">
      <c r="A34" s="10" t="s">
        <v>293</v>
      </c>
      <c r="B34" s="11"/>
    </row>
    <row r="35" customFormat="false" ht="15" hidden="false" customHeight="false" outlineLevel="0" collapsed="false">
      <c r="A35" s="10" t="s">
        <v>294</v>
      </c>
      <c r="B35" s="11"/>
    </row>
    <row r="36" customFormat="false" ht="15" hidden="false" customHeight="false" outlineLevel="0" collapsed="false">
      <c r="A36" s="10" t="s">
        <v>295</v>
      </c>
      <c r="B36" s="11"/>
    </row>
    <row r="37" customFormat="false" ht="15" hidden="false" customHeight="false" outlineLevel="0" collapsed="false">
      <c r="A37" s="10" t="s">
        <v>296</v>
      </c>
      <c r="B37" s="11"/>
    </row>
    <row r="38" customFormat="false" ht="15" hidden="false" customHeight="false" outlineLevel="0" collapsed="false">
      <c r="A38" s="10" t="s">
        <v>297</v>
      </c>
      <c r="B38" s="11"/>
    </row>
    <row r="39" customFormat="false" ht="15" hidden="false" customHeight="false" outlineLevel="0" collapsed="false">
      <c r="A39" s="12"/>
      <c r="B39" s="13"/>
    </row>
    <row r="40" customFormat="false" ht="15" hidden="false" customHeight="false" outlineLevel="0" collapsed="false">
      <c r="A40" s="2" t="s">
        <v>298</v>
      </c>
      <c r="B40" s="2"/>
    </row>
    <row r="41" customFormat="false" ht="35.05" hidden="false" customHeight="false" outlineLevel="0" collapsed="false">
      <c r="A41" s="10" t="s">
        <v>299</v>
      </c>
      <c r="B41" s="11" t="s">
        <v>283</v>
      </c>
    </row>
    <row r="42" customFormat="false" ht="15" hidden="false" customHeight="false" outlineLevel="0" collapsed="false">
      <c r="A42" s="10" t="s">
        <v>300</v>
      </c>
      <c r="B42" s="11"/>
    </row>
    <row r="43" customFormat="false" ht="15" hidden="false" customHeight="false" outlineLevel="0" collapsed="false">
      <c r="A43" s="10" t="s">
        <v>301</v>
      </c>
      <c r="B43" s="11"/>
    </row>
    <row r="44" customFormat="false" ht="15" hidden="false" customHeight="false" outlineLevel="0" collapsed="false">
      <c r="A44" s="10" t="s">
        <v>302</v>
      </c>
      <c r="B44" s="11"/>
    </row>
    <row r="45" customFormat="false" ht="57.45" hidden="false" customHeight="false" outlineLevel="0" collapsed="false">
      <c r="A45" s="10" t="s">
        <v>303</v>
      </c>
      <c r="B45" s="11" t="s">
        <v>304</v>
      </c>
    </row>
    <row r="46" customFormat="false" ht="15" hidden="false" customHeight="false" outlineLevel="0" collapsed="false">
      <c r="A46" s="12"/>
      <c r="B46" s="13"/>
    </row>
    <row r="47" customFormat="false" ht="15" hidden="false" customHeight="false" outlineLevel="0" collapsed="false">
      <c r="A47" s="2" t="s">
        <v>305</v>
      </c>
      <c r="B47" s="2"/>
    </row>
    <row r="48" customFormat="false" ht="15" hidden="false" customHeight="false" outlineLevel="0" collapsed="false">
      <c r="A48" s="10" t="s">
        <v>306</v>
      </c>
      <c r="B48" s="11"/>
    </row>
    <row r="49" customFormat="false" ht="15" hidden="false" customHeight="false" outlineLevel="0" collapsed="false">
      <c r="A49" s="10" t="s">
        <v>307</v>
      </c>
      <c r="B49" s="11"/>
    </row>
    <row r="50" customFormat="false" ht="15" hidden="false" customHeight="false" outlineLevel="0" collapsed="false">
      <c r="A50" s="10" t="s">
        <v>308</v>
      </c>
      <c r="B50" s="11"/>
    </row>
  </sheetData>
  <mergeCells count="7">
    <mergeCell ref="A1:B1"/>
    <mergeCell ref="A10:B10"/>
    <mergeCell ref="A16:B16"/>
    <mergeCell ref="A27:B27"/>
    <mergeCell ref="A33:B33"/>
    <mergeCell ref="A40:B40"/>
    <mergeCell ref="A47:B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9B8E"/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3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1" t="s">
        <v>162</v>
      </c>
      <c r="B1" s="1" t="s">
        <v>309</v>
      </c>
      <c r="C1" s="1" t="s">
        <v>310</v>
      </c>
      <c r="D1" s="1" t="s">
        <v>311</v>
      </c>
      <c r="E1" s="1" t="s">
        <v>312</v>
      </c>
    </row>
    <row r="2" customFormat="false" ht="15" hidden="false" customHeight="false" outlineLevel="0" collapsed="false">
      <c r="A2" s="4" t="s">
        <v>313</v>
      </c>
      <c r="B2" s="4" t="n">
        <v>8</v>
      </c>
      <c r="C2" s="4" t="n">
        <f aca="false">SUM('Implementation Sprint'!E3:E10)</f>
        <v>20</v>
      </c>
      <c r="D2" s="4" t="s">
        <v>314</v>
      </c>
      <c r="E2" s="4" t="s">
        <v>315</v>
      </c>
    </row>
    <row r="3" customFormat="false" ht="15" hidden="false" customHeight="false" outlineLevel="0" collapsed="false">
      <c r="A3" s="3" t="s">
        <v>197</v>
      </c>
      <c r="B3" s="3" t="n">
        <v>5</v>
      </c>
      <c r="C3" s="3" t="n">
        <f aca="false">SUM('Implementation Sprint'!E12:E16)</f>
        <v>7</v>
      </c>
      <c r="D3" s="3" t="s">
        <v>316</v>
      </c>
      <c r="E3" s="3" t="s">
        <v>317</v>
      </c>
    </row>
    <row r="4" customFormat="false" ht="15" hidden="false" customHeight="false" outlineLevel="0" collapsed="false">
      <c r="A4" s="4" t="s">
        <v>213</v>
      </c>
      <c r="B4" s="4" t="n">
        <v>5</v>
      </c>
      <c r="C4" s="4" t="n">
        <f aca="false">SUM('Implementation Sprint'!E18:E22)</f>
        <v>14</v>
      </c>
      <c r="D4" s="4" t="s">
        <v>318</v>
      </c>
      <c r="E4" s="4" t="s">
        <v>319</v>
      </c>
    </row>
    <row r="5" customFormat="false" ht="15" hidden="false" customHeight="false" outlineLevel="0" collapsed="false">
      <c r="A5" s="3" t="s">
        <v>230</v>
      </c>
      <c r="B5" s="3" t="n">
        <v>7</v>
      </c>
      <c r="C5" s="3" t="n">
        <f aca="false">SUM('Implementation Sprint'!E24:E30)</f>
        <v>16</v>
      </c>
      <c r="D5" s="3" t="s">
        <v>320</v>
      </c>
      <c r="E5" s="3" t="s">
        <v>321</v>
      </c>
    </row>
    <row r="6" customFormat="false" ht="15" hidden="false" customHeight="false" outlineLevel="0" collapsed="false">
      <c r="A6" s="1" t="s">
        <v>322</v>
      </c>
      <c r="B6" s="1" t="n">
        <f aca="false">SUM(B2:B5)</f>
        <v>25</v>
      </c>
      <c r="C6" s="1" t="n">
        <f aca="false">SUM(C2:C5)</f>
        <v>57</v>
      </c>
      <c r="D6" s="1" t="s">
        <v>323</v>
      </c>
      <c r="E6" s="1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2026-02-25T03:04:22Z</dcterms:created>
  <dc:creator>openpyxl</dc:creator>
  <dc:description/>
  <dc:language>en-US</dc:language>
  <cp:lastModifiedBy/>
  <dcterms:modified xsi:type="dcterms:W3CDTF">2026-02-25T03:04:22Z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